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isk Heat Map" sheetId="2" r:id="rId6"/>
  </sheets>
  <definedNames/>
  <calcPr/>
</workbook>
</file>

<file path=xl/sharedStrings.xml><?xml version="1.0" encoding="utf-8"?>
<sst xmlns="http://schemas.openxmlformats.org/spreadsheetml/2006/main" count="101" uniqueCount="77">
  <si>
    <t>Risk ID</t>
  </si>
  <si>
    <t xml:space="preserve">Category </t>
  </si>
  <si>
    <t>Risk Description</t>
  </si>
  <si>
    <t>Likelihood</t>
  </si>
  <si>
    <t>Impact</t>
  </si>
  <si>
    <t>Risk Score=D2*E2</t>
  </si>
  <si>
    <t>Risk Level</t>
  </si>
  <si>
    <t>Risk Owner</t>
  </si>
  <si>
    <t>Treatment</t>
  </si>
  <si>
    <t>Mitigation Action</t>
  </si>
  <si>
    <t>Status</t>
  </si>
  <si>
    <t>Review Date</t>
  </si>
  <si>
    <t>RK-001</t>
  </si>
  <si>
    <t>Cybersecurity</t>
  </si>
  <si>
    <t>Phishing attack compromises employee credentials giving unauthorized access to payment systems</t>
  </si>
  <si>
    <t>IT Security Manager</t>
  </si>
  <si>
    <t>Mitigate</t>
  </si>
  <si>
    <t>Deploy MFA on all systems; run quarterly phishing simulations</t>
  </si>
  <si>
    <t>In Progress</t>
  </si>
  <si>
    <t>RK-002</t>
  </si>
  <si>
    <t>Compliance</t>
  </si>
  <si>
    <t>Failure to comply with RBI data localization requirements resulting in regulatory fines</t>
  </si>
  <si>
    <t>Compliance Officer</t>
  </si>
  <si>
    <t>Engage RBI compliance consultant; implement data localization controls</t>
  </si>
  <si>
    <t>Open</t>
  </si>
  <si>
    <t>RK-003</t>
  </si>
  <si>
    <t>Third-party</t>
  </si>
  <si>
    <t>Payment gateway vendor suffers outage causing transaction processing failure for all merchants</t>
  </si>
  <si>
    <t>Operations Manager</t>
  </si>
  <si>
    <t>Transfer</t>
  </si>
  <si>
    <t>Establish SLA with backup payment gateway vendor; buy cyber insurance</t>
  </si>
  <si>
    <t>RK-004</t>
  </si>
  <si>
    <t>Unpatched vulnerabilities in web application allow SQL injection attack on customer database</t>
  </si>
  <si>
    <t>Conduct quarterly VAPT; implement WAF on web application</t>
  </si>
  <si>
    <t>RK-005</t>
  </si>
  <si>
    <t>Operational</t>
  </si>
  <si>
    <t>Key developer resigns with no knowledge transfer causing critical system failure</t>
  </si>
  <si>
    <t>HR Manager</t>
  </si>
  <si>
    <t>Enforce knowledge transfer policy; cross-train two backup engineers</t>
  </si>
  <si>
    <t>RK-006</t>
  </si>
  <si>
    <t>Physical</t>
  </si>
  <si>
    <t>Unauthorized physical access to server room results in hardware theft or tampering</t>
  </si>
  <si>
    <t>Facilities Manager</t>
  </si>
  <si>
    <t>Install biometric access control; add CCTV in server room</t>
  </si>
  <si>
    <t>RK-007</t>
  </si>
  <si>
    <t>DPDP Act non-compliance due to missing data privacy consent mechanisms</t>
  </si>
  <si>
    <t>Legal &amp; Compliance Head</t>
  </si>
  <si>
    <t>Implement consent management system; conduct DPDP gap assessment</t>
  </si>
  <si>
    <t>RK-008</t>
  </si>
  <si>
    <t>Insider threat from privileged admin misusing access to steal customer payment data</t>
  </si>
  <si>
    <t>CISO</t>
  </si>
  <si>
    <t>Enforce least privilege access; deploy PAM tool; audit admin logs monthly</t>
  </si>
  <si>
    <t>RK-009</t>
  </si>
  <si>
    <t>Cloud provider (AWS) regional outage causes complete platform downtime</t>
  </si>
  <si>
    <t>Cloud Infrastructure Lead</t>
  </si>
  <si>
    <t>Enable multi-region AWS failover; review and update DR plan</t>
  </si>
  <si>
    <t>RK-010</t>
  </si>
  <si>
    <t>DDoS attack overwhelms payment API causing merchant transaction failures</t>
  </si>
  <si>
    <t>Deploy DDoS protection via AWS Shield; configure rate limiting on API</t>
  </si>
  <si>
    <t>Shibu Cloud Solutions Pvt Ltd — Risk Heat Map</t>
  </si>
  <si>
    <t>16
RK-007</t>
  </si>
  <si>
    <r>
      <rPr>
        <rFont val="Arial"/>
        <color rgb="FFFFFFFF"/>
      </rPr>
      <t xml:space="preserve">20
</t>
    </r>
    <r>
      <rPr>
        <rFont val="Arial"/>
        <b/>
        <color rgb="FFFFFFFF"/>
      </rPr>
      <t>RK-001</t>
    </r>
  </si>
  <si>
    <r>
      <rPr>
        <rFont val="Arial"/>
        <color theme="1"/>
      </rPr>
      <t xml:space="preserve">12
</t>
    </r>
    <r>
      <rPr>
        <rFont val="Arial"/>
        <b/>
        <color theme="0"/>
      </rPr>
      <t>RK-002 
RK-010</t>
    </r>
  </si>
  <si>
    <r>
      <rPr>
        <rFont val="Arial"/>
        <color rgb="FFFFFFFF"/>
      </rPr>
      <t xml:space="preserve">15
</t>
    </r>
    <r>
      <rPr>
        <rFont val="Arial"/>
        <b/>
        <color rgb="FFFFFFFF"/>
      </rPr>
      <t>RK-003
RK-004</t>
    </r>
  </si>
  <si>
    <r>
      <rPr>
        <rFont val="Arial"/>
        <color theme="1"/>
      </rPr>
      <t xml:space="preserve">6
</t>
    </r>
    <r>
      <rPr>
        <rFont val="Arial"/>
        <b/>
        <color theme="1"/>
      </rPr>
      <t>RK-006</t>
    </r>
  </si>
  <si>
    <r>
      <rPr>
        <rFont val="Arial"/>
        <color theme="1"/>
      </rPr>
      <t xml:space="preserve">8
</t>
    </r>
    <r>
      <rPr>
        <rFont val="Arial"/>
        <b/>
        <color theme="1"/>
      </rPr>
      <t>RK-005</t>
    </r>
  </si>
  <si>
    <r>
      <rPr>
        <rFont val="Arial"/>
        <color theme="1"/>
      </rPr>
      <t xml:space="preserve">10
</t>
    </r>
    <r>
      <rPr>
        <rFont val="Arial"/>
        <b/>
        <color rgb="FFFFFFFF"/>
      </rPr>
      <t>RK-008 
RK-009</t>
    </r>
  </si>
  <si>
    <t xml:space="preserve">Legend </t>
  </si>
  <si>
    <t>Impact →</t>
  </si>
  <si>
    <t>Low (Score 1–4)</t>
  </si>
  <si>
    <t>Accept or Monitor annually</t>
  </si>
  <si>
    <t>Medium (Score 5–9)</t>
  </si>
  <si>
    <t>Monitor quarterly, assign owner</t>
  </si>
  <si>
    <t>High (Score 10–14)</t>
  </si>
  <si>
    <t>Immediate mitigation plan required</t>
  </si>
  <si>
    <t>Critical (Score 15–25)</t>
  </si>
  <si>
    <t>Escalate to leadership immediately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</si>
</sst>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B833"/>
        <bgColor rgb="FFFFB833"/>
      </patternFill>
    </fill>
    <fill>
      <patternFill patternType="solid">
        <fgColor rgb="FFE67C73"/>
        <bgColor rgb="FFE67C73"/>
      </patternFill>
    </fill>
    <fill>
      <patternFill patternType="solid">
        <fgColor rgb="FFCC0000"/>
        <bgColor rgb="FFCC0000"/>
      </patternFill>
    </fill>
    <fill>
      <patternFill patternType="solid">
        <fgColor rgb="FF57BB8A"/>
        <bgColor rgb="FF57BB8A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4" fontId="6" numFmtId="0" xfId="0" applyAlignment="1" applyFont="1">
      <alignment readingOrder="0"/>
    </xf>
    <xf borderId="0" fillId="0" fontId="7" numFmtId="0" xfId="0" applyAlignment="1" applyFont="1">
      <alignment horizontal="center" readingOrder="0" shrinkToFit="0" textRotation="90" vertical="center" wrapText="0"/>
    </xf>
    <xf borderId="0" fillId="0" fontId="7" numFmtId="0" xfId="0" applyAlignment="1" applyFont="1">
      <alignment horizontal="center" readingOrder="0" textRotation="90"/>
    </xf>
    <xf borderId="0" fillId="0" fontId="8" numFmtId="0" xfId="0" applyAlignment="1" applyFont="1">
      <alignment readingOrder="0"/>
    </xf>
    <xf borderId="0" fillId="3" fontId="5" numFmtId="0" xfId="0" applyAlignment="1" applyFont="1">
      <alignment readingOrder="0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7B0000"/>
          <bgColor rgb="FF7B0000"/>
        </patternFill>
      </fill>
      <border/>
    </dxf>
    <dxf>
      <font>
        <color rgb="FFE53935"/>
      </font>
      <fill>
        <patternFill patternType="solid">
          <fgColor rgb="FFFFFFFF"/>
          <bgColor rgb="FFFFFFFF"/>
        </patternFill>
      </fill>
      <border/>
    </dxf>
    <dxf>
      <font>
        <color rgb="FF3E2000"/>
      </font>
      <fill>
        <patternFill patternType="solid">
          <fgColor rgb="FFF9A825"/>
          <bgColor rgb="FFF9A825"/>
        </patternFill>
      </fill>
      <border/>
    </dxf>
    <dxf>
      <font>
        <color rgb="FFFFFFFF"/>
      </font>
      <fill>
        <patternFill patternType="solid">
          <fgColor rgb="FF2E7D32"/>
          <bgColor rgb="FF2E7D3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63"/>
    <col customWidth="1" min="8" max="8" width="20.38"/>
    <col customWidth="1" min="10" max="10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4.0</v>
      </c>
      <c r="E2" s="1">
        <v>5.0</v>
      </c>
      <c r="F2" s="2">
        <f t="shared" ref="F2:F11" si="1">D2*E2</f>
        <v>20</v>
      </c>
      <c r="G2" s="2" t="str">
        <f t="shared" ref="G2:G11" si="2">IF(F2&gt;=15,"Critical",IF(F2&gt;=10,"High",IF(F2&gt;=5,"Medium","Low")))</f>
        <v>Critical</v>
      </c>
      <c r="H2" s="1" t="s">
        <v>15</v>
      </c>
      <c r="I2" s="1" t="s">
        <v>16</v>
      </c>
      <c r="J2" s="1" t="s">
        <v>17</v>
      </c>
      <c r="K2" s="1" t="s">
        <v>18</v>
      </c>
      <c r="L2" s="3">
        <v>46295.0</v>
      </c>
    </row>
    <row r="3">
      <c r="A3" s="1" t="s">
        <v>19</v>
      </c>
      <c r="B3" s="1" t="s">
        <v>20</v>
      </c>
      <c r="C3" s="1" t="s">
        <v>21</v>
      </c>
      <c r="D3" s="1">
        <v>3.0</v>
      </c>
      <c r="E3" s="1">
        <v>4.0</v>
      </c>
      <c r="F3" s="2">
        <f t="shared" si="1"/>
        <v>12</v>
      </c>
      <c r="G3" s="2" t="str">
        <f t="shared" si="2"/>
        <v>High</v>
      </c>
      <c r="H3" s="1" t="s">
        <v>22</v>
      </c>
      <c r="I3" s="1" t="s">
        <v>16</v>
      </c>
      <c r="J3" s="1" t="s">
        <v>23</v>
      </c>
      <c r="K3" s="1" t="s">
        <v>24</v>
      </c>
      <c r="L3" s="3">
        <v>46265.0</v>
      </c>
    </row>
    <row r="4">
      <c r="A4" s="1" t="s">
        <v>25</v>
      </c>
      <c r="B4" s="1" t="s">
        <v>26</v>
      </c>
      <c r="C4" s="1" t="s">
        <v>27</v>
      </c>
      <c r="D4" s="1">
        <v>3.0</v>
      </c>
      <c r="E4" s="1">
        <v>5.0</v>
      </c>
      <c r="F4" s="2">
        <f t="shared" si="1"/>
        <v>15</v>
      </c>
      <c r="G4" s="2" t="str">
        <f t="shared" si="2"/>
        <v>Critical</v>
      </c>
      <c r="H4" s="1" t="s">
        <v>28</v>
      </c>
      <c r="I4" s="1" t="s">
        <v>29</v>
      </c>
      <c r="J4" s="1" t="s">
        <v>30</v>
      </c>
      <c r="K4" s="1" t="s">
        <v>18</v>
      </c>
      <c r="L4" s="3">
        <v>46295.0</v>
      </c>
    </row>
    <row r="5">
      <c r="A5" s="1" t="s">
        <v>31</v>
      </c>
      <c r="B5" s="1" t="s">
        <v>13</v>
      </c>
      <c r="C5" s="1" t="s">
        <v>32</v>
      </c>
      <c r="D5" s="1">
        <v>3.0</v>
      </c>
      <c r="E5" s="1">
        <v>5.0</v>
      </c>
      <c r="F5" s="2">
        <f t="shared" si="1"/>
        <v>15</v>
      </c>
      <c r="G5" s="2" t="str">
        <f t="shared" si="2"/>
        <v>Critical</v>
      </c>
      <c r="H5" s="1" t="s">
        <v>15</v>
      </c>
      <c r="I5" s="1" t="s">
        <v>16</v>
      </c>
      <c r="J5" s="1" t="s">
        <v>33</v>
      </c>
      <c r="K5" s="1" t="s">
        <v>24</v>
      </c>
      <c r="L5" s="3">
        <v>46234.0</v>
      </c>
    </row>
    <row r="6">
      <c r="A6" s="1" t="s">
        <v>34</v>
      </c>
      <c r="B6" s="1" t="s">
        <v>35</v>
      </c>
      <c r="C6" s="1" t="s">
        <v>36</v>
      </c>
      <c r="D6" s="1">
        <v>2.0</v>
      </c>
      <c r="E6" s="1">
        <v>4.0</v>
      </c>
      <c r="F6" s="2">
        <f t="shared" si="1"/>
        <v>8</v>
      </c>
      <c r="G6" s="2" t="str">
        <f t="shared" si="2"/>
        <v>Medium</v>
      </c>
      <c r="H6" s="1" t="s">
        <v>37</v>
      </c>
      <c r="I6" s="1" t="s">
        <v>16</v>
      </c>
      <c r="J6" s="1" t="s">
        <v>38</v>
      </c>
      <c r="K6" s="1" t="s">
        <v>24</v>
      </c>
      <c r="L6" s="3">
        <v>46326.0</v>
      </c>
    </row>
    <row r="7">
      <c r="A7" s="1" t="s">
        <v>39</v>
      </c>
      <c r="B7" s="1" t="s">
        <v>40</v>
      </c>
      <c r="C7" s="1" t="s">
        <v>41</v>
      </c>
      <c r="D7" s="1">
        <v>2.0</v>
      </c>
      <c r="E7" s="1">
        <v>3.0</v>
      </c>
      <c r="F7" s="2">
        <f t="shared" si="1"/>
        <v>6</v>
      </c>
      <c r="G7" s="2" t="str">
        <f t="shared" si="2"/>
        <v>Medium</v>
      </c>
      <c r="H7" s="1" t="s">
        <v>42</v>
      </c>
      <c r="I7" s="1" t="s">
        <v>16</v>
      </c>
      <c r="J7" s="1" t="s">
        <v>43</v>
      </c>
      <c r="K7" s="1" t="s">
        <v>18</v>
      </c>
      <c r="L7" s="3">
        <v>46387.0</v>
      </c>
    </row>
    <row r="8">
      <c r="A8" s="1" t="s">
        <v>44</v>
      </c>
      <c r="B8" s="1" t="s">
        <v>20</v>
      </c>
      <c r="C8" s="1" t="s">
        <v>45</v>
      </c>
      <c r="D8" s="1">
        <v>4.0</v>
      </c>
      <c r="E8" s="1">
        <v>4.0</v>
      </c>
      <c r="F8" s="2">
        <f t="shared" si="1"/>
        <v>16</v>
      </c>
      <c r="G8" s="2" t="str">
        <f t="shared" si="2"/>
        <v>Critical</v>
      </c>
      <c r="H8" s="1" t="s">
        <v>46</v>
      </c>
      <c r="I8" s="1" t="s">
        <v>16</v>
      </c>
      <c r="J8" s="1" t="s">
        <v>47</v>
      </c>
      <c r="K8" s="1" t="s">
        <v>24</v>
      </c>
      <c r="L8" s="3">
        <v>46234.0</v>
      </c>
    </row>
    <row r="9">
      <c r="A9" s="1" t="s">
        <v>48</v>
      </c>
      <c r="B9" s="1" t="s">
        <v>13</v>
      </c>
      <c r="C9" s="1" t="s">
        <v>49</v>
      </c>
      <c r="D9" s="1">
        <v>2.0</v>
      </c>
      <c r="E9" s="1">
        <v>5.0</v>
      </c>
      <c r="F9" s="2">
        <f t="shared" si="1"/>
        <v>10</v>
      </c>
      <c r="G9" s="2" t="str">
        <f t="shared" si="2"/>
        <v>High</v>
      </c>
      <c r="H9" s="1" t="s">
        <v>50</v>
      </c>
      <c r="I9" s="1" t="s">
        <v>16</v>
      </c>
      <c r="J9" s="1" t="s">
        <v>51</v>
      </c>
      <c r="K9" s="1" t="s">
        <v>24</v>
      </c>
      <c r="L9" s="3">
        <v>46295.0</v>
      </c>
    </row>
    <row r="10">
      <c r="A10" s="1" t="s">
        <v>52</v>
      </c>
      <c r="B10" s="1" t="s">
        <v>26</v>
      </c>
      <c r="C10" s="1" t="s">
        <v>53</v>
      </c>
      <c r="D10" s="1">
        <v>2.0</v>
      </c>
      <c r="E10" s="1">
        <v>5.0</v>
      </c>
      <c r="F10" s="2">
        <f t="shared" si="1"/>
        <v>10</v>
      </c>
      <c r="G10" s="2" t="str">
        <f t="shared" si="2"/>
        <v>High</v>
      </c>
      <c r="H10" s="1" t="s">
        <v>54</v>
      </c>
      <c r="I10" s="1" t="s">
        <v>16</v>
      </c>
      <c r="J10" s="1" t="s">
        <v>55</v>
      </c>
      <c r="K10" s="1" t="s">
        <v>18</v>
      </c>
      <c r="L10" s="3">
        <v>46295.0</v>
      </c>
    </row>
    <row r="11">
      <c r="A11" s="1" t="s">
        <v>56</v>
      </c>
      <c r="B11" s="1" t="s">
        <v>35</v>
      </c>
      <c r="C11" s="1" t="s">
        <v>57</v>
      </c>
      <c r="D11" s="1">
        <v>3.0</v>
      </c>
      <c r="E11" s="1">
        <v>4.0</v>
      </c>
      <c r="F11" s="2">
        <f t="shared" si="1"/>
        <v>12</v>
      </c>
      <c r="G11" s="2" t="str">
        <f t="shared" si="2"/>
        <v>High</v>
      </c>
      <c r="H11" s="1" t="s">
        <v>15</v>
      </c>
      <c r="I11" s="1" t="s">
        <v>16</v>
      </c>
      <c r="J11" s="1" t="s">
        <v>58</v>
      </c>
      <c r="K11" s="1" t="s">
        <v>24</v>
      </c>
      <c r="L11" s="3">
        <v>46265.0</v>
      </c>
    </row>
  </sheetData>
  <conditionalFormatting sqref="G2:G11">
    <cfRule type="cellIs" dxfId="0" priority="1" operator="equal">
      <formula>"Critical"</formula>
    </cfRule>
  </conditionalFormatting>
  <conditionalFormatting sqref="G2:G11">
    <cfRule type="cellIs" dxfId="1" priority="2" operator="equal">
      <formula>"High"</formula>
    </cfRule>
  </conditionalFormatting>
  <conditionalFormatting sqref="G2:G11">
    <cfRule type="cellIs" dxfId="2" priority="3" operator="equal">
      <formula>"Medium"</formula>
    </cfRule>
  </conditionalFormatting>
  <conditionalFormatting sqref="G2:G11">
    <cfRule type="cellIs" dxfId="3" priority="4" operator="equal">
      <formula>"Low"</formula>
    </cfRule>
  </conditionalFormatting>
  <conditionalFormatting sqref="C16">
    <cfRule type="notContainsBlanks" dxfId="4" priority="5">
      <formula>LEN(TRIM(C16))&gt;0</formula>
    </cfRule>
  </conditionalFormatting>
  <conditionalFormatting sqref="G17">
    <cfRule type="notContainsBlanks" dxfId="4" priority="6">
      <formula>LEN(TRIM(G17))&gt;0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3.25"/>
    <col customWidth="1" min="3" max="7" width="10.13"/>
  </cols>
  <sheetData>
    <row r="1">
      <c r="B1" s="4" t="s">
        <v>59</v>
      </c>
    </row>
    <row r="2">
      <c r="C2" s="5">
        <v>1.0</v>
      </c>
      <c r="D2" s="1">
        <v>2.0</v>
      </c>
      <c r="E2" s="1">
        <v>3.0</v>
      </c>
      <c r="F2" s="1">
        <v>4.0</v>
      </c>
      <c r="G2" s="5">
        <v>5.0</v>
      </c>
    </row>
    <row r="3" ht="41.25" customHeight="1">
      <c r="B3" s="5">
        <v>5.0</v>
      </c>
      <c r="C3" s="6">
        <v>5.0</v>
      </c>
      <c r="D3" s="7">
        <v>10.0</v>
      </c>
      <c r="E3" s="8">
        <v>15.0</v>
      </c>
      <c r="F3" s="8">
        <v>20.0</v>
      </c>
      <c r="G3" s="8">
        <v>25.0</v>
      </c>
    </row>
    <row r="4" ht="41.25" customHeight="1">
      <c r="B4" s="1">
        <v>4.0</v>
      </c>
      <c r="C4" s="9">
        <v>4.0</v>
      </c>
      <c r="D4" s="10">
        <v>8.0</v>
      </c>
      <c r="E4" s="7">
        <v>12.0</v>
      </c>
      <c r="F4" s="11" t="s">
        <v>60</v>
      </c>
      <c r="G4" s="11" t="s">
        <v>61</v>
      </c>
    </row>
    <row r="5" ht="60.0" customHeight="1">
      <c r="A5" s="12" t="s">
        <v>3</v>
      </c>
      <c r="B5" s="1">
        <v>3.0</v>
      </c>
      <c r="C5" s="9">
        <v>3.0</v>
      </c>
      <c r="D5" s="10">
        <v>6.0</v>
      </c>
      <c r="E5" s="10">
        <v>9.0</v>
      </c>
      <c r="F5" s="7" t="s">
        <v>62</v>
      </c>
      <c r="G5" s="11" t="s">
        <v>63</v>
      </c>
    </row>
    <row r="6" ht="41.25" customHeight="1">
      <c r="A6" s="13"/>
      <c r="B6" s="1">
        <v>2.0</v>
      </c>
      <c r="C6" s="9">
        <v>2.0</v>
      </c>
      <c r="D6" s="9">
        <v>4.0</v>
      </c>
      <c r="E6" s="10" t="s">
        <v>64</v>
      </c>
      <c r="F6" s="10" t="s">
        <v>65</v>
      </c>
      <c r="G6" s="7" t="s">
        <v>66</v>
      </c>
    </row>
    <row r="7" ht="41.25" customHeight="1">
      <c r="B7" s="5">
        <v>1.0</v>
      </c>
      <c r="C7" s="9">
        <v>1.0</v>
      </c>
      <c r="D7" s="9">
        <v>2.0</v>
      </c>
      <c r="E7" s="9">
        <v>3.0</v>
      </c>
      <c r="F7" s="9">
        <v>4.0</v>
      </c>
      <c r="G7" s="10">
        <v>5.0</v>
      </c>
    </row>
    <row r="9">
      <c r="C9" s="14" t="s">
        <v>67</v>
      </c>
      <c r="E9" s="5" t="s">
        <v>68</v>
      </c>
    </row>
    <row r="10">
      <c r="C10" s="9" t="s">
        <v>69</v>
      </c>
      <c r="D10" s="1" t="s">
        <v>70</v>
      </c>
    </row>
    <row r="11">
      <c r="C11" s="10" t="s">
        <v>71</v>
      </c>
      <c r="D11" s="1" t="s">
        <v>72</v>
      </c>
    </row>
    <row r="12">
      <c r="C12" s="15" t="s">
        <v>73</v>
      </c>
      <c r="D12" s="1" t="s">
        <v>74</v>
      </c>
    </row>
    <row r="13">
      <c r="C13" s="8" t="s">
        <v>75</v>
      </c>
      <c r="D13" s="1" t="s">
        <v>76</v>
      </c>
    </row>
  </sheetData>
  <conditionalFormatting sqref="C10">
    <cfRule type="notContainsBlanks" dxfId="4" priority="1">
      <formula>LEN(TRIM(C10))&gt;0</formula>
    </cfRule>
  </conditionalFormatting>
  <conditionalFormatting sqref="A5:A6">
    <cfRule type="notContainsBlanks" dxfId="4" priority="2">
      <formula>LEN(TRIM(A5))&gt;0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